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2be94a816ad81b/Documents/"/>
    </mc:Choice>
  </mc:AlternateContent>
  <xr:revisionPtr revIDLastSave="0" documentId="8_{FE167730-09AC-4679-B298-CB436D016658}" xr6:coauthVersionLast="47" xr6:coauthVersionMax="47" xr10:uidLastSave="{00000000-0000-0000-0000-000000000000}"/>
  <bookViews>
    <workbookView xWindow="-108" yWindow="-108" windowWidth="23256" windowHeight="12456" xr2:uid="{BDEF5DDC-3D11-4656-8D42-1CAC349B3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E17" i="1"/>
  <c r="F17" i="1"/>
  <c r="B19" i="1"/>
  <c r="E19" i="1"/>
  <c r="F19" i="1"/>
  <c r="B21" i="1"/>
  <c r="E21" i="1"/>
  <c r="F21" i="1"/>
  <c r="N16" i="1" l="1"/>
  <c r="N17" i="1"/>
  <c r="N18" i="1"/>
  <c r="N15" i="1"/>
  <c r="B15" i="1"/>
  <c r="B16" i="1"/>
  <c r="B18" i="1"/>
  <c r="B20" i="1"/>
  <c r="F16" i="1"/>
  <c r="F18" i="1"/>
  <c r="F20" i="1"/>
  <c r="F15" i="1"/>
  <c r="E16" i="1"/>
  <c r="E18" i="1"/>
  <c r="E20" i="1"/>
  <c r="E15" i="1"/>
</calcChain>
</file>

<file path=xl/sharedStrings.xml><?xml version="1.0" encoding="utf-8"?>
<sst xmlns="http://schemas.openxmlformats.org/spreadsheetml/2006/main" count="77" uniqueCount="48">
  <si>
    <t>Order_ID</t>
  </si>
  <si>
    <t>Product_Name</t>
  </si>
  <si>
    <t>Region_Product_Code</t>
  </si>
  <si>
    <t>Quantity</t>
  </si>
  <si>
    <t>Sales_Amount</t>
  </si>
  <si>
    <t>laptop</t>
  </si>
  <si>
    <t>North_LP01</t>
  </si>
  <si>
    <t>Laptop</t>
  </si>
  <si>
    <t>South_LP01</t>
  </si>
  <si>
    <t>two</t>
  </si>
  <si>
    <t>LAPTOP</t>
  </si>
  <si>
    <t>mouse</t>
  </si>
  <si>
    <t>East_MS02</t>
  </si>
  <si>
    <t>2,500₹</t>
  </si>
  <si>
    <t>Mouse</t>
  </si>
  <si>
    <t>Key-board</t>
  </si>
  <si>
    <t>West_KB03</t>
  </si>
  <si>
    <t>Rs.1,500</t>
  </si>
  <si>
    <t>Keyboard</t>
  </si>
  <si>
    <t>Answers</t>
  </si>
  <si>
    <t>Proper_Product Name</t>
  </si>
  <si>
    <t xml:space="preserve">Region </t>
  </si>
  <si>
    <t>Product code</t>
  </si>
  <si>
    <t>North</t>
  </si>
  <si>
    <t>LP01</t>
  </si>
  <si>
    <t>South</t>
  </si>
  <si>
    <t>East</t>
  </si>
  <si>
    <t>MS02</t>
  </si>
  <si>
    <t>West</t>
  </si>
  <si>
    <t>KB03</t>
  </si>
  <si>
    <t>Qauntity</t>
  </si>
  <si>
    <t>Sales Amount</t>
  </si>
  <si>
    <t>Validity Status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</si>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</sst>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2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373380</xdr:colOff>
      <xdr:row>0</xdr:row>
      <xdr:rowOff>129540</xdr:rowOff>
    </xdr:from>
    <xdr:ext cx="4968240" cy="2286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AF62E2-4EFB-C059-78F7-9323E73B5E07}"/>
            </a:ext>
          </a:extLst>
        </xdr:cNvPr>
        <xdr:cNvSpPr txBox="1"/>
      </xdr:nvSpPr>
      <xdr:spPr>
        <a:xfrm>
          <a:off x="7018020" y="129540"/>
          <a:ext cx="4968240" cy="2286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Question: </a:t>
          </a:r>
        </a:p>
        <a:p>
          <a:r>
            <a:rPr lang="en-IN" sz="1100"/>
            <a:t>          A sales dataset is prepared manually by multiple teams and shows the following problems:</a:t>
          </a:r>
        </a:p>
        <a:p>
          <a:r>
            <a:rPr lang="en-IN" sz="1100"/>
            <a:t> ● Inconsistent product names due to spacing, casing, and spelling differences </a:t>
          </a:r>
        </a:p>
        <a:p>
          <a:r>
            <a:rPr lang="en-IN" sz="1100"/>
            <a:t> ● Multiple columns contain merged text values (e.g., Region_Product_Code)</a:t>
          </a:r>
        </a:p>
        <a:p>
          <a:r>
            <a:rPr lang="en-IN" sz="1100"/>
            <a:t> ● Duplicate records exist, but removing them incorrectly affects totals </a:t>
          </a:r>
        </a:p>
        <a:p>
          <a:r>
            <a:rPr lang="en-IN" sz="1100"/>
            <a:t> ● Some numeric fields contain text and extra symbols </a:t>
          </a:r>
        </a:p>
        <a:p>
          <a:r>
            <a:rPr lang="en-IN" sz="1100"/>
            <a:t> ● The final report requires filtered summary statistics (mean and standard deviation) for only valid records </a:t>
          </a:r>
        </a:p>
        <a:p>
          <a:r>
            <a:rPr lang="en-IN" sz="1100"/>
            <a:t>      Describe the end-to-end approach you would use in Excel to clean, standardize, split, validate, and analyze this dataset. </a:t>
          </a:r>
        </a:p>
        <a:p>
          <a:r>
            <a:rPr lang="en-IN" sz="1100"/>
            <a:t>      Explain how you would prevent future data issues and ensure the results remain accurate when new data is added.</a:t>
          </a:r>
        </a:p>
      </xdr:txBody>
    </xdr:sp>
    <xdr:clientData/>
  </xdr:oneCellAnchor>
  <xdr:oneCellAnchor>
    <xdr:from>
      <xdr:col>7</xdr:col>
      <xdr:colOff>76200</xdr:colOff>
      <xdr:row>11</xdr:row>
      <xdr:rowOff>83820</xdr:rowOff>
    </xdr:from>
    <xdr:ext cx="5554980" cy="2971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CC6D28-0E56-6C0C-99CF-999B926A85AC}"/>
            </a:ext>
          </a:extLst>
        </xdr:cNvPr>
        <xdr:cNvSpPr txBox="1"/>
      </xdr:nvSpPr>
      <xdr:spPr>
        <a:xfrm>
          <a:off x="6111240" y="2506980"/>
          <a:ext cx="5554980" cy="297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After removing Duplicates</a:t>
          </a:r>
        </a:p>
      </xdr:txBody>
    </xdr:sp>
    <xdr:clientData/>
  </xdr:oneCellAnchor>
  <xdr:oneCellAnchor>
    <xdr:from>
      <xdr:col>4</xdr:col>
      <xdr:colOff>373380</xdr:colOff>
      <xdr:row>22</xdr:row>
      <xdr:rowOff>45720</xdr:rowOff>
    </xdr:from>
    <xdr:ext cx="2004060" cy="609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7D0161-E254-B52B-E20A-5DEC01424D7C}"/>
            </a:ext>
          </a:extLst>
        </xdr:cNvPr>
        <xdr:cNvSpPr txBox="1"/>
      </xdr:nvSpPr>
      <xdr:spPr>
        <a:xfrm>
          <a:off x="3901440" y="4503420"/>
          <a:ext cx="200406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 baseline="0"/>
        </a:p>
        <a:p>
          <a:endParaRPr lang="en-IN" sz="1100" baseline="0"/>
        </a:p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A8911-283A-4A55-9018-C20D8896CF33}" name="Table1" displayName="Table1" ref="H14:M18" totalsRowShown="0" headerRowDxfId="0">
  <autoFilter ref="H14:M18" xr:uid="{C5AA8911-283A-4A55-9018-C20D8896CF33}"/>
  <tableColumns count="6">
    <tableColumn id="1" xr3:uid="{9730BCC0-FA39-4B1A-BFFE-30BAC476B000}" name="Order_ID"/>
    <tableColumn id="2" xr3:uid="{E165C016-6AF5-4806-8BD7-9CDDBA10712E}" name="Proper_Product Name"/>
    <tableColumn id="3" xr3:uid="{914D2D05-00F9-4E58-97EB-AB824012CAC5}" name="Region "/>
    <tableColumn id="4" xr3:uid="{60ED4A17-0736-4344-801A-702BE4AD3A7C}" name="Product code"/>
    <tableColumn id="5" xr3:uid="{BDD9B22A-D98B-490C-9A43-88F8766D6EF0}" name="Qauntity"/>
    <tableColumn id="6" xr3:uid="{C31733CA-CC01-4FF1-9E50-FF6C6AA00F55}" name="Sales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7C63-F635-489D-BEC8-3AA3D92C9F9E}">
  <dimension ref="A1:P29"/>
  <sheetViews>
    <sheetView tabSelected="1" topLeftCell="A6" workbookViewId="0">
      <selection activeCell="C24" sqref="C24"/>
    </sheetView>
  </sheetViews>
  <sheetFormatPr defaultRowHeight="14.4" x14ac:dyDescent="0.3"/>
  <cols>
    <col min="1" max="1" width="8.5546875" bestFit="1" customWidth="1"/>
    <col min="2" max="2" width="20" bestFit="1" customWidth="1"/>
    <col min="3" max="3" width="10.6640625" bestFit="1" customWidth="1"/>
    <col min="4" max="4" width="12.21875" bestFit="1" customWidth="1"/>
    <col min="5" max="5" width="15.109375" customWidth="1"/>
    <col min="6" max="6" width="12.5546875" bestFit="1" customWidth="1"/>
    <col min="8" max="8" width="10.44140625" customWidth="1"/>
    <col min="9" max="9" width="21.6640625" customWidth="1"/>
    <col min="10" max="10" width="9.109375" customWidth="1"/>
    <col min="11" max="11" width="14.109375" customWidth="1"/>
    <col min="12" max="12" width="10.21875" customWidth="1"/>
    <col min="13" max="13" width="14.44140625" customWidth="1"/>
    <col min="14" max="14" width="13.109375" bestFit="1" customWidth="1"/>
  </cols>
  <sheetData>
    <row r="1" spans="1:16" ht="32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x14ac:dyDescent="0.3">
      <c r="A2" s="2">
        <v>101</v>
      </c>
      <c r="B2" s="2" t="s">
        <v>5</v>
      </c>
      <c r="C2" s="2" t="s">
        <v>6</v>
      </c>
      <c r="D2" s="2">
        <v>2</v>
      </c>
      <c r="E2" s="3">
        <v>50000</v>
      </c>
    </row>
    <row r="3" spans="1:16" x14ac:dyDescent="0.3">
      <c r="A3" s="2">
        <v>102</v>
      </c>
      <c r="B3" s="2" t="s">
        <v>5</v>
      </c>
      <c r="C3" s="2" t="s">
        <v>8</v>
      </c>
      <c r="D3" s="2" t="s">
        <v>9</v>
      </c>
      <c r="E3" s="4">
        <v>45000</v>
      </c>
    </row>
    <row r="4" spans="1:16" x14ac:dyDescent="0.3">
      <c r="A4" s="2">
        <v>103</v>
      </c>
      <c r="B4" s="2" t="s">
        <v>10</v>
      </c>
      <c r="C4" s="2" t="s">
        <v>6</v>
      </c>
      <c r="D4" s="2">
        <v>2</v>
      </c>
      <c r="E4" s="3">
        <v>50000</v>
      </c>
    </row>
    <row r="5" spans="1:16" x14ac:dyDescent="0.3">
      <c r="A5" s="2">
        <v>104</v>
      </c>
      <c r="B5" s="2" t="s">
        <v>11</v>
      </c>
      <c r="C5" s="2" t="s">
        <v>12</v>
      </c>
      <c r="D5" s="2">
        <v>5</v>
      </c>
      <c r="E5" s="2" t="s">
        <v>13</v>
      </c>
    </row>
    <row r="6" spans="1:16" x14ac:dyDescent="0.3">
      <c r="A6" s="2">
        <v>105</v>
      </c>
      <c r="B6" s="2" t="s">
        <v>14</v>
      </c>
      <c r="C6" s="2" t="s">
        <v>12</v>
      </c>
      <c r="D6" s="2">
        <v>5</v>
      </c>
      <c r="E6" s="2">
        <v>2500</v>
      </c>
    </row>
    <row r="7" spans="1:16" ht="28.8" x14ac:dyDescent="0.3">
      <c r="A7" s="2">
        <v>106</v>
      </c>
      <c r="B7" s="2" t="s">
        <v>15</v>
      </c>
      <c r="C7" s="2" t="s">
        <v>16</v>
      </c>
      <c r="D7" s="2">
        <v>1</v>
      </c>
      <c r="E7" s="2" t="s">
        <v>17</v>
      </c>
    </row>
    <row r="8" spans="1:16" x14ac:dyDescent="0.3">
      <c r="A8" s="2">
        <v>107</v>
      </c>
      <c r="B8" s="2" t="s">
        <v>18</v>
      </c>
      <c r="C8" s="2" t="s">
        <v>16</v>
      </c>
      <c r="D8" s="2">
        <v>1</v>
      </c>
      <c r="E8" s="2">
        <v>1500</v>
      </c>
    </row>
    <row r="12" spans="1:16" ht="15.6" x14ac:dyDescent="0.3">
      <c r="B12" s="5" t="s">
        <v>19</v>
      </c>
    </row>
    <row r="14" spans="1:16" ht="15" thickBot="1" x14ac:dyDescent="0.35">
      <c r="A14" s="1" t="s">
        <v>0</v>
      </c>
      <c r="B14" s="6" t="s">
        <v>20</v>
      </c>
      <c r="C14" s="6" t="s">
        <v>21</v>
      </c>
      <c r="D14" s="6" t="s">
        <v>22</v>
      </c>
      <c r="E14" s="6" t="s">
        <v>30</v>
      </c>
      <c r="F14" s="6" t="s">
        <v>31</v>
      </c>
      <c r="H14" s="6" t="s">
        <v>0</v>
      </c>
      <c r="I14" s="6" t="s">
        <v>20</v>
      </c>
      <c r="J14" s="6" t="s">
        <v>21</v>
      </c>
      <c r="K14" s="6" t="s">
        <v>22</v>
      </c>
      <c r="L14" s="6" t="s">
        <v>30</v>
      </c>
      <c r="M14" s="6" t="s">
        <v>31</v>
      </c>
      <c r="N14" s="6" t="s">
        <v>32</v>
      </c>
      <c r="O14" s="6" t="s">
        <v>47</v>
      </c>
    </row>
    <row r="15" spans="1:16" x14ac:dyDescent="0.3">
      <c r="A15" s="2">
        <v>101</v>
      </c>
      <c r="B15" t="str">
        <f>PROPER(TRIM(SUBSTITUTE(B2,"-"," ")))</f>
        <v>Laptop</v>
      </c>
      <c r="C15" t="s">
        <v>23</v>
      </c>
      <c r="D15" t="s">
        <v>24</v>
      </c>
      <c r="E15">
        <f>IFERROR(VALUE(D2)," ")</f>
        <v>2</v>
      </c>
      <c r="F15">
        <f>VALUE(SUBSTITUTE(SUBSTITUTE(SUBSTITUTE(E2,"₹",""),"Rs.",""),",",""))</f>
        <v>50000</v>
      </c>
      <c r="H15">
        <v>101</v>
      </c>
      <c r="I15" t="s">
        <v>7</v>
      </c>
      <c r="J15" t="s">
        <v>23</v>
      </c>
      <c r="K15" t="s">
        <v>24</v>
      </c>
      <c r="L15">
        <v>2</v>
      </c>
      <c r="M15">
        <v>50000</v>
      </c>
      <c r="N15" t="str">
        <f>IF(AND(ISNUMBER(L15),ISNUMBER(M15),M15&gt;0),"Valid","Invalid")</f>
        <v>Valid</v>
      </c>
      <c r="O15" s="9" t="s">
        <v>33</v>
      </c>
      <c r="P15" s="9"/>
    </row>
    <row r="16" spans="1:16" x14ac:dyDescent="0.3">
      <c r="A16" s="2">
        <v>102</v>
      </c>
      <c r="B16" t="str">
        <f>PROPER(TRIM(SUBSTITUTE(B3,"-","")))</f>
        <v>Laptop</v>
      </c>
      <c r="C16" t="s">
        <v>25</v>
      </c>
      <c r="D16" t="s">
        <v>24</v>
      </c>
      <c r="E16" t="str">
        <f>IFERROR(VALUE(D3)," ")</f>
        <v xml:space="preserve"> </v>
      </c>
      <c r="F16">
        <f>VALUE(SUBSTITUTE(SUBSTITUTE(SUBSTITUTE(E3,"₹",""),"Rs.",""),",",""))</f>
        <v>45000</v>
      </c>
      <c r="H16">
        <v>102</v>
      </c>
      <c r="I16" t="s">
        <v>7</v>
      </c>
      <c r="J16" t="s">
        <v>25</v>
      </c>
      <c r="K16" t="s">
        <v>24</v>
      </c>
      <c r="L16">
        <v>2</v>
      </c>
      <c r="M16">
        <v>45000</v>
      </c>
      <c r="N16" t="str">
        <f t="shared" ref="N16:N18" si="0">IF(AND(ISNUMBER(L16),ISNUMBER(M16),M16&gt;0),"Valid","Invalid")</f>
        <v>Valid</v>
      </c>
      <c r="O16" s="7"/>
      <c r="P16" s="7"/>
    </row>
    <row r="17" spans="1:16" x14ac:dyDescent="0.3">
      <c r="A17" s="2">
        <v>103</v>
      </c>
      <c r="B17" t="str">
        <f>PROPER(TRIM(SUBSTITUTE(B4,"-","")))</f>
        <v>Laptop</v>
      </c>
      <c r="C17" t="s">
        <v>23</v>
      </c>
      <c r="D17" t="s">
        <v>24</v>
      </c>
      <c r="E17">
        <f>IFERROR(VALUE(D4)," ")</f>
        <v>2</v>
      </c>
      <c r="F17">
        <f>VALUE(SUBSTITUTE(SUBSTITUTE(SUBSTITUTE(E4,"₹",""),"Rs.",""),",",""))</f>
        <v>50000</v>
      </c>
      <c r="H17">
        <v>104</v>
      </c>
      <c r="I17" t="s">
        <v>14</v>
      </c>
      <c r="J17" t="s">
        <v>26</v>
      </c>
      <c r="K17" t="s">
        <v>27</v>
      </c>
      <c r="L17">
        <v>5</v>
      </c>
      <c r="M17">
        <v>2500</v>
      </c>
      <c r="N17" t="str">
        <f t="shared" si="0"/>
        <v>Valid</v>
      </c>
      <c r="O17" s="7" t="s">
        <v>34</v>
      </c>
      <c r="P17" s="7">
        <v>24750</v>
      </c>
    </row>
    <row r="18" spans="1:16" x14ac:dyDescent="0.3">
      <c r="A18" s="2">
        <v>104</v>
      </c>
      <c r="B18" t="str">
        <f>PROPER(TRIM(SUBSTITUTE(B5,"-","")))</f>
        <v>Mouse</v>
      </c>
      <c r="C18" t="s">
        <v>26</v>
      </c>
      <c r="D18" t="s">
        <v>27</v>
      </c>
      <c r="E18">
        <f>IFERROR(VALUE(D5)," ")</f>
        <v>5</v>
      </c>
      <c r="F18">
        <f>VALUE(SUBSTITUTE(SUBSTITUTE(SUBSTITUTE(E5,"₹",""),"Rs.",""),",",""))</f>
        <v>2500</v>
      </c>
      <c r="H18">
        <v>106</v>
      </c>
      <c r="I18" t="s">
        <v>18</v>
      </c>
      <c r="J18" t="s">
        <v>28</v>
      </c>
      <c r="K18" t="s">
        <v>29</v>
      </c>
      <c r="L18">
        <v>1</v>
      </c>
      <c r="M18">
        <v>1500</v>
      </c>
      <c r="N18" t="str">
        <f t="shared" si="0"/>
        <v>Valid</v>
      </c>
      <c r="O18" s="7" t="s">
        <v>35</v>
      </c>
      <c r="P18" s="7">
        <v>13175.893391594615</v>
      </c>
    </row>
    <row r="19" spans="1:16" x14ac:dyDescent="0.3">
      <c r="A19" s="2">
        <v>105</v>
      </c>
      <c r="B19" t="str">
        <f>PROPER(TRIM(SUBSTITUTE(B6,"-","")))</f>
        <v>Mouse</v>
      </c>
      <c r="C19" t="s">
        <v>26</v>
      </c>
      <c r="D19" t="s">
        <v>27</v>
      </c>
      <c r="E19">
        <f>IFERROR(VALUE(D6)," ")</f>
        <v>5</v>
      </c>
      <c r="F19">
        <f>VALUE(SUBSTITUTE(SUBSTITUTE(SUBSTITUTE(E6,"₹",""),"Rs.",""),",",""))</f>
        <v>2500</v>
      </c>
      <c r="O19" s="7" t="s">
        <v>36</v>
      </c>
      <c r="P19" s="7">
        <v>23750</v>
      </c>
    </row>
    <row r="20" spans="1:16" x14ac:dyDescent="0.3">
      <c r="A20" s="2">
        <v>106</v>
      </c>
      <c r="B20" t="str">
        <f>PROPER(TRIM(SUBSTITUTE(B7,"-","")))</f>
        <v>Keyboard</v>
      </c>
      <c r="C20" t="s">
        <v>28</v>
      </c>
      <c r="D20" t="s">
        <v>29</v>
      </c>
      <c r="E20">
        <f>IFERROR(VALUE(D7)," ")</f>
        <v>1</v>
      </c>
      <c r="F20">
        <f>VALUE(SUBSTITUTE(SUBSTITUTE(SUBSTITUTE(E7,"₹",""),"Rs.",""),",",""))</f>
        <v>1500</v>
      </c>
      <c r="O20" s="7" t="s">
        <v>37</v>
      </c>
      <c r="P20" s="7" t="e">
        <v>#N/A</v>
      </c>
    </row>
    <row r="21" spans="1:16" x14ac:dyDescent="0.3">
      <c r="A21" s="2">
        <v>107</v>
      </c>
      <c r="B21" t="str">
        <f>PROPER(TRIM(SUBSTITUTE(B8,"-","")))</f>
        <v>Keyboard</v>
      </c>
      <c r="C21" t="s">
        <v>28</v>
      </c>
      <c r="D21" t="s">
        <v>29</v>
      </c>
      <c r="E21">
        <f>IFERROR(VALUE(D8)," ")</f>
        <v>1</v>
      </c>
      <c r="F21">
        <f>VALUE(SUBSTITUTE(SUBSTITUTE(SUBSTITUTE(E8,"₹",""),"Rs.",""),",",""))</f>
        <v>1500</v>
      </c>
      <c r="O21" s="7" t="s">
        <v>38</v>
      </c>
      <c r="P21" s="7">
        <v>26351.786783189229</v>
      </c>
    </row>
    <row r="22" spans="1:16" x14ac:dyDescent="0.3">
      <c r="O22" s="7" t="s">
        <v>39</v>
      </c>
      <c r="P22" s="7">
        <v>694416666.66666663</v>
      </c>
    </row>
    <row r="23" spans="1:16" x14ac:dyDescent="0.3">
      <c r="F23" s="10"/>
      <c r="O23" s="7" t="s">
        <v>40</v>
      </c>
      <c r="P23" s="7">
        <v>-5.8137118812485573</v>
      </c>
    </row>
    <row r="24" spans="1:16" x14ac:dyDescent="0.3">
      <c r="O24" s="7" t="s">
        <v>41</v>
      </c>
      <c r="P24" s="7">
        <v>2.9837500482495928E-2</v>
      </c>
    </row>
    <row r="25" spans="1:16" x14ac:dyDescent="0.3">
      <c r="O25" s="7" t="s">
        <v>42</v>
      </c>
      <c r="P25" s="7">
        <v>48500</v>
      </c>
    </row>
    <row r="26" spans="1:16" x14ac:dyDescent="0.3">
      <c r="O26" s="7" t="s">
        <v>43</v>
      </c>
      <c r="P26" s="7">
        <v>1500</v>
      </c>
    </row>
    <row r="27" spans="1:16" x14ac:dyDescent="0.3">
      <c r="O27" s="7" t="s">
        <v>44</v>
      </c>
      <c r="P27" s="7">
        <v>50000</v>
      </c>
    </row>
    <row r="28" spans="1:16" x14ac:dyDescent="0.3">
      <c r="O28" s="7" t="s">
        <v>45</v>
      </c>
      <c r="P28" s="7">
        <v>99000</v>
      </c>
    </row>
    <row r="29" spans="1:16" ht="15" thickBot="1" x14ac:dyDescent="0.35">
      <c r="O29" s="8" t="s">
        <v>46</v>
      </c>
      <c r="P29" s="8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P</dc:creator>
  <cp:lastModifiedBy>ROOPA P</cp:lastModifiedBy>
  <dcterms:created xsi:type="dcterms:W3CDTF">2026-02-01T12:04:03Z</dcterms:created>
  <dcterms:modified xsi:type="dcterms:W3CDTF">2026-02-01T15:58:23Z</dcterms:modified>
</cp:coreProperties>
</file>